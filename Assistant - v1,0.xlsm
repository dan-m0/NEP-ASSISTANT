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entricaplc-my.sharepoint.com/personal/dan_mcclarence_britishgas_co_uk/Documents/Microsoft Teams Chat Files/"/>
    </mc:Choice>
  </mc:AlternateContent>
  <xr:revisionPtr revIDLastSave="1222" documentId="8_{A5490136-C652-48A1-8B26-85676CD96D05}" xr6:coauthVersionLast="47" xr6:coauthVersionMax="47" xr10:uidLastSave="{62756D17-8846-432C-A3E8-7A654CC3B147}"/>
  <bookViews>
    <workbookView xWindow="-19310" yWindow="-110" windowWidth="19420" windowHeight="10420" xr2:uid="{C474E7CB-0DED-4139-BF05-C0B25F5FA81E}"/>
  </bookViews>
  <sheets>
    <sheet name="Start Here" sheetId="1" r:id="rId1"/>
    <sheet name="Memory" sheetId="10" r:id="rId2"/>
    <sheet name="Console" sheetId="9" r:id="rId3"/>
    <sheet name="UsefulNumbers" sheetId="2" state="hidden" r:id="rId4"/>
    <sheet name="GasCalculator" sheetId="3" r:id="rId5"/>
    <sheet name="ElectricityCalculator" sheetId="5" state="hidden" r:id="rId6"/>
    <sheet name="DateCalculator" sheetId="6" state="hidden" r:id="rId7"/>
    <sheet name="ActionNotes" sheetId="7" r:id="rId8"/>
    <sheet name="CHOEscalations" sheetId="8" r:id="rId9"/>
  </sheets>
  <functionGroups builtInGroupCount="19"/>
  <definedNames>
    <definedName name="_xlnm._FilterDatabase" localSheetId="7" hidden="1">ActionNotes!$A$1:$K$117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5" l="1"/>
  <c r="F1" i="5"/>
  <c r="E2" i="3"/>
  <c r="H4" i="3" s="1"/>
  <c r="E1" i="3"/>
  <c r="H1" i="3" s="1"/>
  <c r="H2" i="3" s="1"/>
  <c r="D2" i="6"/>
  <c r="G1" i="6"/>
  <c r="F4" i="5" l="1"/>
  <c r="H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 McClarence</author>
  </authors>
  <commentList>
    <comment ref="B1" authorId="0" shapeId="0" xr:uid="{3E1E6B06-9BFA-4DD0-8003-CD754C5D6422}">
      <text>
        <r>
          <rPr>
            <b/>
            <sz val="9"/>
            <color indexed="81"/>
            <rFont val="Tahoma"/>
            <family val="2"/>
          </rPr>
          <t>Dan McClarence:</t>
        </r>
        <r>
          <rPr>
            <sz val="9"/>
            <color indexed="81"/>
            <rFont val="Tahoma"/>
            <family val="2"/>
          </rPr>
          <t xml:space="preserve">
Time agent started typing in the tool</t>
        </r>
      </text>
    </comment>
    <comment ref="C1" authorId="0" shapeId="0" xr:uid="{2B088406-EA5A-406C-B991-5DDFC2E6F865}">
      <text>
        <r>
          <rPr>
            <b/>
            <sz val="9"/>
            <color indexed="81"/>
            <rFont val="Tahoma"/>
            <family val="2"/>
          </rPr>
          <t>Dan McClarence:</t>
        </r>
        <r>
          <rPr>
            <sz val="9"/>
            <color indexed="81"/>
            <rFont val="Tahoma"/>
            <family val="2"/>
          </rPr>
          <t xml:space="preserve">
Time agent submitted their notes</t>
        </r>
      </text>
    </comment>
    <comment ref="H1" authorId="0" shapeId="0" xr:uid="{425020AE-88CE-4FC1-A317-0B36801CED38}">
      <text>
        <r>
          <rPr>
            <b/>
            <sz val="9"/>
            <color indexed="81"/>
            <rFont val="Tahoma"/>
            <family val="2"/>
          </rPr>
          <t>Dan McClarence:</t>
        </r>
        <r>
          <rPr>
            <sz val="9"/>
            <color indexed="81"/>
            <rFont val="Tahoma"/>
            <family val="2"/>
          </rPr>
          <t xml:space="preserve">
total time worked from starting to type in the form to submitting the form</t>
        </r>
      </text>
    </comment>
    <comment ref="K1" authorId="0" shapeId="0" xr:uid="{B23FE03C-FFB4-4A61-A45C-93F9A23B0269}">
      <text>
        <r>
          <rPr>
            <b/>
            <sz val="9"/>
            <color indexed="81"/>
            <rFont val="Tahoma"/>
            <family val="2"/>
          </rPr>
          <t>Dan McClarence:</t>
        </r>
        <r>
          <rPr>
            <sz val="9"/>
            <color indexed="81"/>
            <rFont val="Tahoma"/>
            <family val="2"/>
          </rPr>
          <t xml:space="preserve">
Any action on any case that didn't result in a customer contact</t>
        </r>
      </text>
    </comment>
    <comment ref="M1" authorId="0" shapeId="0" xr:uid="{63A2518F-37EC-4B95-8A54-978D9054D619}">
      <text>
        <r>
          <rPr>
            <b/>
            <sz val="9"/>
            <color indexed="81"/>
            <rFont val="Tahoma"/>
            <family val="2"/>
          </rPr>
          <t>Dan McClarence:</t>
        </r>
        <r>
          <rPr>
            <sz val="9"/>
            <color indexed="81"/>
            <rFont val="Tahoma"/>
            <family val="2"/>
          </rPr>
          <t xml:space="preserve">
If AI used, the AI response will be the "Actions taken" field</t>
        </r>
      </text>
    </comment>
    <comment ref="O1" authorId="0" shapeId="0" xr:uid="{78A2CC37-5D3D-40BC-960B-621E08656448}">
      <text>
        <r>
          <rPr>
            <b/>
            <sz val="9"/>
            <color indexed="81"/>
            <rFont val="Tahoma"/>
            <family val="2"/>
          </rPr>
          <t>Dan McClarence:</t>
        </r>
        <r>
          <rPr>
            <sz val="9"/>
            <color indexed="81"/>
            <rFont val="Tahoma"/>
            <family val="2"/>
          </rPr>
          <t xml:space="preserve">
Did the user send a request to the AI, regardless of whether they used the reply</t>
        </r>
      </text>
    </comment>
  </commentList>
</comments>
</file>

<file path=xl/sharedStrings.xml><?xml version="1.0" encoding="utf-8"?>
<sst xmlns="http://schemas.openxmlformats.org/spreadsheetml/2006/main" count="96" uniqueCount="89">
  <si>
    <t>Department</t>
  </si>
  <si>
    <t>Number</t>
  </si>
  <si>
    <t>Automated Metering</t>
  </si>
  <si>
    <t>0330 054 5340</t>
  </si>
  <si>
    <t>Automated Payment</t>
  </si>
  <si>
    <t>0330 818 0004</t>
  </si>
  <si>
    <t>Business</t>
  </si>
  <si>
    <t>0330 818 4389</t>
  </si>
  <si>
    <t>CLASSIC</t>
  </si>
  <si>
    <t>0330 1000 056</t>
  </si>
  <si>
    <t>Energy Acquisition</t>
  </si>
  <si>
    <t>0330 100 0056</t>
  </si>
  <si>
    <t>HIVE</t>
  </si>
  <si>
    <t>0333 202 9614</t>
  </si>
  <si>
    <t>General</t>
  </si>
  <si>
    <t>0333 202 9802</t>
  </si>
  <si>
    <t>NABUH</t>
  </si>
  <si>
    <t>0330 0414 902</t>
  </si>
  <si>
    <t>NEP</t>
  </si>
  <si>
    <t>0330 808 3880</t>
  </si>
  <si>
    <t>Out of Hours  BG Emergency (1700-0900)</t>
  </si>
  <si>
    <t>0333 0096 135</t>
  </si>
  <si>
    <t>Services</t>
  </si>
  <si>
    <t>0333 200 8899</t>
  </si>
  <si>
    <t>Solar</t>
  </si>
  <si>
    <t>0333 202 9483</t>
  </si>
  <si>
    <t>New connections</t>
  </si>
  <si>
    <t>0333 202 9580</t>
  </si>
  <si>
    <t>Value Pod (retentions)</t>
  </si>
  <si>
    <t>0333 202 9885</t>
  </si>
  <si>
    <t>Start date &gt;</t>
  </si>
  <si>
    <t>End date &gt;</t>
  </si>
  <si>
    <t>Days</t>
  </si>
  <si>
    <t>Today &gt;</t>
  </si>
  <si>
    <t>Start Read for Period</t>
  </si>
  <si>
    <t>Usage for Period</t>
  </si>
  <si>
    <t>kWh</t>
  </si>
  <si>
    <t>Start Read Date</t>
  </si>
  <si>
    <t>Days in Period</t>
  </si>
  <si>
    <t>Usage cost (£)</t>
  </si>
  <si>
    <t>End Read for Period</t>
  </si>
  <si>
    <t>Standing Charge cost (£)</t>
  </si>
  <si>
    <t>End Read Date</t>
  </si>
  <si>
    <t>Total cost (£)</t>
  </si>
  <si>
    <t>Unit rate for period</t>
  </si>
  <si>
    <t>Standing Charge</t>
  </si>
  <si>
    <t>Calorific Value (on bill)</t>
  </si>
  <si>
    <t>Correction Factor</t>
  </si>
  <si>
    <t>Conversion Factor</t>
  </si>
  <si>
    <t>kWh Conversion Factor</t>
  </si>
  <si>
    <t>Consumption</t>
  </si>
  <si>
    <t>Standing Charges</t>
  </si>
  <si>
    <t>Total</t>
  </si>
  <si>
    <t>Date</t>
  </si>
  <si>
    <t>Case Number</t>
  </si>
  <si>
    <t>Next Actions</t>
  </si>
  <si>
    <t>NAD</t>
  </si>
  <si>
    <t>Actions Taken</t>
  </si>
  <si>
    <t>CHO Number</t>
  </si>
  <si>
    <t>CHO Type</t>
  </si>
  <si>
    <t>CHO Date</t>
  </si>
  <si>
    <t>Date Escalated</t>
  </si>
  <si>
    <t>New?</t>
  </si>
  <si>
    <t>Called?</t>
  </si>
  <si>
    <t>End Time</t>
  </si>
  <si>
    <t>Start Time</t>
  </si>
  <si>
    <t>Time worked</t>
  </si>
  <si>
    <t>ProgramStartDateTime</t>
  </si>
  <si>
    <t>ProgramEndDateTime</t>
  </si>
  <si>
    <t>RunningTime</t>
  </si>
  <si>
    <t>ActionNoteRunCount</t>
  </si>
  <si>
    <t>NoReplyCHOCount</t>
  </si>
  <si>
    <t>CaseClosedCount</t>
  </si>
  <si>
    <t>ACTION NOTE USE</t>
  </si>
  <si>
    <t>NCPCloseCount</t>
  </si>
  <si>
    <t>ResetFormCount</t>
  </si>
  <si>
    <t>NCP1Count</t>
  </si>
  <si>
    <t>NCP2Count</t>
  </si>
  <si>
    <t>NewCaseCount</t>
  </si>
  <si>
    <t>CalledOutCount</t>
  </si>
  <si>
    <t>ResetCount</t>
  </si>
  <si>
    <t>AIUsage</t>
  </si>
  <si>
    <t>ClosedCount</t>
  </si>
  <si>
    <t>Closed?</t>
  </si>
  <si>
    <t>AIUsed?</t>
  </si>
  <si>
    <t>IfAIUsed, content sent</t>
  </si>
  <si>
    <t>Was AI Tried?</t>
  </si>
  <si>
    <t>Offline Review?</t>
  </si>
  <si>
    <t>{"messages":[{"role":"system","content":"Please do not use markdown formatting. Do not hallucinate. You assist a Customer Resolution Agent, who works for British Gas. The agent has taken action towards resolving a complaint, they will provide you with the note they've written, outlining what they've done, and you will reply in prose, using paragraphs as necessary with 15-20 words per sentence and 3-5 sentences per paragraph; this note will be attached to the customer's account as a record of the action taken. Write in British English, formatting dates as d(th) Month yyyy 1st January 2024. If any abbreviations are unclear, please reply with 'CLARIFY - please explain' and state what you need explaining."}]}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</si>
</sst>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"/>
    <numFmt numFmtId="165" formatCode="dd\-mm"/>
    <numFmt numFmtId="166" formatCode="&quot;£&quot;#,##0.00"/>
    <numFmt numFmtId="167" formatCode="[$-F400]h:mm:ss\ AM/PM"/>
  </numFmts>
  <fonts count="7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9"/>
      <color theme="1"/>
      <name val="British Gas Body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D5D3D1"/>
      </right>
      <top style="medium">
        <color rgb="FFD5D3D1"/>
      </top>
      <bottom style="medium">
        <color rgb="FFD5D3D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2" borderId="0" xfId="0" applyFill="1"/>
    <xf numFmtId="14" fontId="0" fillId="3" borderId="0" xfId="0" applyNumberFormat="1" applyFill="1"/>
    <xf numFmtId="0" fontId="2" fillId="4" borderId="1" xfId="0" applyFont="1" applyFill="1" applyBorder="1" applyAlignment="1">
      <alignment horizontal="right" vertical="center"/>
    </xf>
    <xf numFmtId="14" fontId="2" fillId="4" borderId="1" xfId="0" applyNumberFormat="1" applyFont="1" applyFill="1" applyBorder="1" applyAlignment="1">
      <alignment vertical="center"/>
    </xf>
    <xf numFmtId="2" fontId="0" fillId="0" borderId="0" xfId="0" applyNumberFormat="1" applyProtection="1">
      <protection locked="0"/>
    </xf>
    <xf numFmtId="2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/>
    <xf numFmtId="14" fontId="0" fillId="0" borderId="0" xfId="0" applyNumberFormat="1"/>
    <xf numFmtId="0" fontId="2" fillId="0" borderId="1" xfId="0" applyFont="1" applyFill="1" applyBorder="1" applyAlignment="1">
      <alignment vertical="center"/>
    </xf>
    <xf numFmtId="14" fontId="0" fillId="0" borderId="0" xfId="0" applyNumberFormat="1" applyFill="1"/>
    <xf numFmtId="0" fontId="0" fillId="0" borderId="2" xfId="0" applyBorder="1"/>
    <xf numFmtId="0" fontId="0" fillId="0" borderId="0" xfId="0" applyAlignment="1">
      <alignment wrapText="1" shrinkToFit="1"/>
    </xf>
    <xf numFmtId="0" fontId="0" fillId="0" borderId="0" xfId="0" applyNumberFormat="1" applyAlignment="1">
      <alignment wrapText="1" shrinkToFit="1"/>
    </xf>
    <xf numFmtId="167" fontId="0" fillId="0" borderId="0" xfId="0" applyNumberFormat="1"/>
    <xf numFmtId="0" fontId="4" fillId="0" borderId="0" xfId="0" applyNumberFormat="1" applyFont="1"/>
    <xf numFmtId="0" fontId="4" fillId="0" borderId="0" xfId="0" applyFont="1"/>
    <xf numFmtId="0" fontId="4" fillId="0" borderId="0" xfId="0" applyFont="1" applyAlignment="1">
      <alignment wrapText="1"/>
    </xf>
    <xf numFmtId="0" fontId="4" fillId="0" borderId="0" xfId="0" applyNumberFormat="1" applyFont="1" applyAlignment="1">
      <alignment horizontal="left" vertical="top"/>
    </xf>
    <xf numFmtId="14" fontId="4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14" fontId="4" fillId="0" borderId="0" xfId="0" applyNumberFormat="1" applyFont="1" applyAlignment="1">
      <alignment horizontal="left" vertical="top" wrapText="1"/>
    </xf>
    <xf numFmtId="20" fontId="4" fillId="0" borderId="0" xfId="0" applyNumberFormat="1" applyFont="1" applyAlignment="1">
      <alignment horizontal="left" vertical="top"/>
    </xf>
    <xf numFmtId="0" fontId="4" fillId="0" borderId="0" xfId="0" applyFont="1" applyAlignment="1"/>
    <xf numFmtId="0" fontId="4" fillId="0" borderId="0" xfId="0" applyFont="1" applyAlignment="1">
      <alignment horizontal="left" vertical="top"/>
    </xf>
    <xf numFmtId="14" fontId="0" fillId="0" borderId="0" xfId="0" quotePrefix="1" applyNumberFormat="1"/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57150</xdr:rowOff>
        </xdr:from>
        <xdr:to>
          <xdr:col>16</xdr:col>
          <xdr:colOff>539750</xdr:colOff>
          <xdr:row>17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Started!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1</xdr:row>
          <xdr:rowOff>31750</xdr:rowOff>
        </xdr:from>
        <xdr:to>
          <xdr:col>18</xdr:col>
          <xdr:colOff>203200</xdr:colOff>
          <xdr:row>3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Monday?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E7C8EF-B35E-45C7-AF30-43C6F8F7D159}" name="Table1" displayName="Table1" ref="A1:B15" totalsRowShown="0">
  <autoFilter ref="A1:B15" xr:uid="{0EE7C8EF-B35E-45C7-AF30-43C6F8F7D159}"/>
  <tableColumns count="2">
    <tableColumn id="1" xr3:uid="{71A04E2A-0124-4F1D-8AC6-3C21022EAF64}" name="Department"/>
    <tableColumn id="2" xr3:uid="{2F419599-7957-4578-9509-9F8DC4D78081}" name="Numb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B330BE7-BDF4-4E95-B664-9929689B7F80}" name="CHO_Escalations" displayName="CHO_Escalations" ref="A1:E2" insertRow="1" totalsRowShown="0">
  <autoFilter ref="A1:E2" xr:uid="{D8C6E238-7D57-40C8-BAFD-46635FD593F8}">
    <filterColumn colId="4">
      <filters blank="1">
        <filter val="09/20/2024"/>
      </filters>
    </filterColumn>
  </autoFilter>
  <tableColumns count="5">
    <tableColumn id="1" xr3:uid="{CC23DCCD-C61B-4742-9A3F-A3558B3CCA9B}" name="Case Number"/>
    <tableColumn id="2" xr3:uid="{B5CB4AE4-4848-455F-8376-EB19C0D366C3}" name="CHO Number"/>
    <tableColumn id="3" xr3:uid="{F735799F-F3C8-4294-B51A-6F33BF2DD8D5}" name="CHO Type"/>
    <tableColumn id="4" xr3:uid="{117A9AD7-123F-428D-9923-2806C1830FD5}" name="CHO Date" dataDxfId="1"/>
    <tableColumn id="7" xr3:uid="{00843C18-3EB1-4EFD-9488-1B5419B6E3DB}" name="Date Escala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5CA69-1E8A-4E1F-B24C-5EB4C8C6C034}">
  <sheetPr codeName="Sheet10"/>
  <dimension ref="E5:K19"/>
  <sheetViews>
    <sheetView tabSelected="1" workbookViewId="0"/>
  </sheetViews>
  <sheetFormatPr defaultRowHeight="14.5" x14ac:dyDescent="0.35"/>
  <cols>
    <col min="9" max="9" width="13.7265625" customWidth="1"/>
    <col min="10" max="10" width="10.453125" bestFit="1" customWidth="1"/>
  </cols>
  <sheetData>
    <row r="5" spans="5:11" x14ac:dyDescent="0.35">
      <c r="G5" s="1"/>
    </row>
    <row r="9" spans="5:11" x14ac:dyDescent="0.35">
      <c r="G9" s="2"/>
      <c r="J9" s="3"/>
    </row>
    <row r="10" spans="5:11" x14ac:dyDescent="0.35">
      <c r="H10" s="1"/>
      <c r="I10" s="2"/>
    </row>
    <row r="11" spans="5:11" x14ac:dyDescent="0.35">
      <c r="E11" s="4"/>
      <c r="G11" s="4"/>
    </row>
    <row r="12" spans="5:11" x14ac:dyDescent="0.35">
      <c r="G12" s="5"/>
      <c r="H12" s="4"/>
    </row>
    <row r="13" spans="5:11" x14ac:dyDescent="0.35">
      <c r="I13" s="4"/>
    </row>
    <row r="15" spans="5:11" x14ac:dyDescent="0.35">
      <c r="K15" s="4"/>
    </row>
    <row r="19" spans="8:8" x14ac:dyDescent="0.35">
      <c r="H19" s="2"/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yPoint_Clicked">
                <anchor moveWithCells="1" sizeWithCells="1">
                  <from>
                    <xdr:col>1</xdr:col>
                    <xdr:colOff>57150</xdr:colOff>
                    <xdr:row>1</xdr:row>
                    <xdr:rowOff>57150</xdr:rowOff>
                  </from>
                  <to>
                    <xdr:col>16</xdr:col>
                    <xdr:colOff>539750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DirectoriesFromMonday">
                <anchor moveWithCells="1" sizeWithCells="1">
                  <from>
                    <xdr:col>16</xdr:col>
                    <xdr:colOff>590550</xdr:colOff>
                    <xdr:row>1</xdr:row>
                    <xdr:rowOff>31750</xdr:rowOff>
                  </from>
                  <to>
                    <xdr:col>18</xdr:col>
                    <xdr:colOff>203200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1A972-A69E-4FA0-9341-C32D793140E6}">
  <sheetPr codeName="Sheet8"/>
  <dimension ref="A1"/>
  <sheetViews>
    <sheetView workbookViewId="0"/>
  </sheetViews>
  <sheetFormatPr defaultRowHeight="14.5" x14ac:dyDescent="0.35"/>
  <cols>
    <col min="1" max="1" width="129.7265625" customWidth="1"/>
  </cols>
  <sheetData>
    <row r="1" spans="1:1" ht="72.5" x14ac:dyDescent="0.35">
      <c r="A1" s="1" t="s">
        <v>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D4B18-D431-446B-BEF0-383791F7114C}">
  <sheetPr codeName="Sheet7"/>
  <dimension ref="A1:P1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4.5" x14ac:dyDescent="0.35"/>
  <cols>
    <col min="1" max="1" width="20" bestFit="1" customWidth="1"/>
    <col min="2" max="2" width="19.26953125" bestFit="1" customWidth="1"/>
    <col min="3" max="3" width="11.7265625" style="22" bestFit="1" customWidth="1"/>
    <col min="4" max="4" width="16.08984375" bestFit="1" customWidth="1"/>
    <col min="5" max="5" width="18.54296875" bestFit="1" customWidth="1"/>
    <col min="6" max="6" width="16.54296875" bestFit="1" customWidth="1"/>
    <col min="7" max="7" width="15.36328125" bestFit="1" customWidth="1"/>
    <col min="8" max="9" width="10.1796875" bestFit="1" customWidth="1"/>
    <col min="10" max="10" width="13.7265625" bestFit="1" customWidth="1"/>
    <col min="11" max="11" width="14.81640625" bestFit="1" customWidth="1"/>
    <col min="12" max="12" width="13.54296875" bestFit="1" customWidth="1"/>
    <col min="13" max="13" width="14.08984375" bestFit="1" customWidth="1"/>
    <col min="14" max="14" width="10.6328125" customWidth="1"/>
    <col min="16" max="16" width="11.90625" customWidth="1"/>
  </cols>
  <sheetData>
    <row r="1" spans="1:16" s="20" customFormat="1" ht="29" x14ac:dyDescent="0.35">
      <c r="A1" s="20" t="s">
        <v>67</v>
      </c>
      <c r="B1" s="20" t="s">
        <v>68</v>
      </c>
      <c r="C1" s="21" t="s">
        <v>69</v>
      </c>
      <c r="D1" s="20" t="s">
        <v>73</v>
      </c>
      <c r="E1" s="20" t="s">
        <v>70</v>
      </c>
      <c r="F1" s="20" t="s">
        <v>71</v>
      </c>
      <c r="G1" s="20" t="s">
        <v>72</v>
      </c>
      <c r="H1" s="20" t="s">
        <v>76</v>
      </c>
      <c r="I1" s="20" t="s">
        <v>77</v>
      </c>
      <c r="J1" s="20" t="s">
        <v>74</v>
      </c>
      <c r="K1" s="20" t="s">
        <v>75</v>
      </c>
      <c r="L1" s="20" t="s">
        <v>78</v>
      </c>
      <c r="M1" s="20" t="s">
        <v>79</v>
      </c>
      <c r="N1" s="20" t="s">
        <v>80</v>
      </c>
      <c r="O1" s="20" t="s">
        <v>81</v>
      </c>
      <c r="P1" s="20" t="s">
        <v>82</v>
      </c>
    </row>
  </sheetData>
  <pageMargins left="0.7" right="0.7" top="0.75" bottom="0.75" header="0.3" footer="0.3"/>
  <pageSetup paperSize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BA58-FC77-490B-956F-BBE94E67D05E}">
  <sheetPr codeName="Sheet1"/>
  <dimension ref="A1:B15"/>
  <sheetViews>
    <sheetView workbookViewId="0"/>
  </sheetViews>
  <sheetFormatPr defaultRowHeight="14.5" x14ac:dyDescent="0.35"/>
  <cols>
    <col min="1" max="1" width="35.26953125" bestFit="1" customWidth="1"/>
    <col min="2" max="2" width="13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2</v>
      </c>
      <c r="B2" t="s">
        <v>3</v>
      </c>
    </row>
    <row r="3" spans="1:2" x14ac:dyDescent="0.35">
      <c r="A3" t="s">
        <v>4</v>
      </c>
      <c r="B3" t="s">
        <v>5</v>
      </c>
    </row>
    <row r="4" spans="1:2" x14ac:dyDescent="0.35">
      <c r="A4" t="s">
        <v>6</v>
      </c>
      <c r="B4" t="s">
        <v>7</v>
      </c>
    </row>
    <row r="5" spans="1:2" x14ac:dyDescent="0.35">
      <c r="A5" t="s">
        <v>8</v>
      </c>
      <c r="B5" t="s">
        <v>9</v>
      </c>
    </row>
    <row r="6" spans="1:2" x14ac:dyDescent="0.35">
      <c r="A6" t="s">
        <v>10</v>
      </c>
      <c r="B6" t="s">
        <v>11</v>
      </c>
    </row>
    <row r="7" spans="1:2" x14ac:dyDescent="0.35">
      <c r="A7" t="s">
        <v>12</v>
      </c>
      <c r="B7" t="s">
        <v>13</v>
      </c>
    </row>
    <row r="8" spans="1:2" x14ac:dyDescent="0.35">
      <c r="A8" t="s">
        <v>14</v>
      </c>
      <c r="B8" t="s">
        <v>15</v>
      </c>
    </row>
    <row r="9" spans="1:2" x14ac:dyDescent="0.35">
      <c r="A9" t="s">
        <v>16</v>
      </c>
      <c r="B9" t="s">
        <v>17</v>
      </c>
    </row>
    <row r="10" spans="1:2" x14ac:dyDescent="0.35">
      <c r="A10" s="7" t="s">
        <v>18</v>
      </c>
      <c r="B10" s="7" t="s">
        <v>19</v>
      </c>
    </row>
    <row r="11" spans="1:2" x14ac:dyDescent="0.35">
      <c r="A11" t="s">
        <v>20</v>
      </c>
      <c r="B11" t="s">
        <v>21</v>
      </c>
    </row>
    <row r="12" spans="1:2" x14ac:dyDescent="0.35">
      <c r="A12" t="s">
        <v>22</v>
      </c>
      <c r="B12" t="s">
        <v>23</v>
      </c>
    </row>
    <row r="13" spans="1:2" x14ac:dyDescent="0.35">
      <c r="A13" t="s">
        <v>24</v>
      </c>
      <c r="B13" t="s">
        <v>25</v>
      </c>
    </row>
    <row r="14" spans="1:2" x14ac:dyDescent="0.35">
      <c r="A14" t="s">
        <v>26</v>
      </c>
      <c r="B14" t="s">
        <v>27</v>
      </c>
    </row>
    <row r="15" spans="1:2" x14ac:dyDescent="0.35">
      <c r="A15" t="s">
        <v>28</v>
      </c>
      <c r="B15" s="6" t="s">
        <v>29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D9B2D-7BF4-482D-8F3C-38A3E4AAB2F7}">
  <sheetPr codeName="Sheet2"/>
  <dimension ref="A1:H13"/>
  <sheetViews>
    <sheetView workbookViewId="0">
      <selection activeCell="H6" sqref="H6"/>
    </sheetView>
  </sheetViews>
  <sheetFormatPr defaultRowHeight="14.5" x14ac:dyDescent="0.35"/>
  <cols>
    <col min="1" max="1" width="20.26953125" bestFit="1" customWidth="1"/>
    <col min="2" max="2" width="11.81640625" bestFit="1" customWidth="1"/>
    <col min="4" max="4" width="14.6328125" bestFit="1" customWidth="1"/>
    <col min="5" max="5" width="7.36328125" bestFit="1" customWidth="1"/>
    <col min="7" max="7" width="21.08984375" bestFit="1" customWidth="1"/>
    <col min="8" max="8" width="11.81640625" bestFit="1" customWidth="1"/>
  </cols>
  <sheetData>
    <row r="1" spans="1:8" x14ac:dyDescent="0.35">
      <c r="A1" t="s">
        <v>34</v>
      </c>
      <c r="B1" s="11">
        <v>0</v>
      </c>
      <c r="D1" t="s">
        <v>35</v>
      </c>
      <c r="E1" s="12">
        <f>B4-B1</f>
        <v>2851.300048828125</v>
      </c>
      <c r="G1" t="s">
        <v>36</v>
      </c>
      <c r="H1">
        <f>(E1*B9*B11)/B13</f>
        <v>31669.407415101163</v>
      </c>
    </row>
    <row r="2" spans="1:8" x14ac:dyDescent="0.35">
      <c r="A2" t="s">
        <v>37</v>
      </c>
      <c r="B2" s="13">
        <v>45540</v>
      </c>
      <c r="D2" t="s">
        <v>38</v>
      </c>
      <c r="E2">
        <f>(B5-B2)+1</f>
        <v>2</v>
      </c>
      <c r="G2" t="s">
        <v>39</v>
      </c>
      <c r="H2">
        <f>(H1*B7)/100</f>
        <v>2214.3249664638734</v>
      </c>
    </row>
    <row r="4" spans="1:8" x14ac:dyDescent="0.35">
      <c r="A4" t="s">
        <v>40</v>
      </c>
      <c r="B4" s="14">
        <v>2851.300048828125</v>
      </c>
      <c r="G4" t="s">
        <v>41</v>
      </c>
      <c r="H4">
        <f>(E2*B8)/100</f>
        <v>0</v>
      </c>
    </row>
    <row r="5" spans="1:8" x14ac:dyDescent="0.35">
      <c r="A5" t="s">
        <v>42</v>
      </c>
      <c r="B5" s="13">
        <v>45541</v>
      </c>
    </row>
    <row r="6" spans="1:8" x14ac:dyDescent="0.35">
      <c r="G6" t="s">
        <v>43</v>
      </c>
      <c r="H6">
        <f>(H4+H2)</f>
        <v>2214.3249664638734</v>
      </c>
    </row>
    <row r="7" spans="1:8" x14ac:dyDescent="0.35">
      <c r="A7" t="s">
        <v>44</v>
      </c>
      <c r="B7" s="14">
        <v>6.992</v>
      </c>
    </row>
    <row r="8" spans="1:8" x14ac:dyDescent="0.35">
      <c r="A8" t="s">
        <v>45</v>
      </c>
      <c r="B8" s="14">
        <v>0</v>
      </c>
    </row>
    <row r="9" spans="1:8" x14ac:dyDescent="0.35">
      <c r="A9" t="s">
        <v>46</v>
      </c>
      <c r="B9">
        <v>39.099998474121094</v>
      </c>
    </row>
    <row r="11" spans="1:8" x14ac:dyDescent="0.35">
      <c r="A11" t="s">
        <v>47</v>
      </c>
      <c r="B11">
        <v>1.02264</v>
      </c>
    </row>
    <row r="12" spans="1:8" x14ac:dyDescent="0.35">
      <c r="A12" t="s">
        <v>48</v>
      </c>
      <c r="B12">
        <v>1</v>
      </c>
    </row>
    <row r="13" spans="1:8" x14ac:dyDescent="0.35">
      <c r="A13" t="s">
        <v>49</v>
      </c>
      <c r="B13">
        <v>3.6</v>
      </c>
    </row>
  </sheetData>
  <sheetProtection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9131-87DA-412B-A33A-43C14546B673}">
  <sheetPr codeName="Sheet4"/>
  <dimension ref="A1:F8"/>
  <sheetViews>
    <sheetView workbookViewId="0">
      <selection activeCell="B20" sqref="B20"/>
    </sheetView>
  </sheetViews>
  <sheetFormatPr defaultRowHeight="14.5" x14ac:dyDescent="0.35"/>
  <cols>
    <col min="1" max="1" width="18.26953125" bestFit="1" customWidth="1"/>
    <col min="2" max="2" width="13.26953125" customWidth="1"/>
  </cols>
  <sheetData>
    <row r="1" spans="1:6" x14ac:dyDescent="0.35">
      <c r="A1" t="s">
        <v>34</v>
      </c>
      <c r="B1" s="12">
        <v>13937</v>
      </c>
      <c r="E1" t="s">
        <v>50</v>
      </c>
      <c r="F1" s="15">
        <f>(B4-B1)*B7/100</f>
        <v>30.198418807983398</v>
      </c>
    </row>
    <row r="2" spans="1:6" x14ac:dyDescent="0.35">
      <c r="A2" t="s">
        <v>37</v>
      </c>
      <c r="B2" s="16">
        <v>45403</v>
      </c>
      <c r="E2" t="s">
        <v>51</v>
      </c>
      <c r="F2" s="15">
        <f>(B5-B2)*B8/100</f>
        <v>10.870800018310547</v>
      </c>
    </row>
    <row r="4" spans="1:6" x14ac:dyDescent="0.35">
      <c r="A4" t="s">
        <v>40</v>
      </c>
      <c r="B4" s="12">
        <v>14063</v>
      </c>
      <c r="E4" t="s">
        <v>52</v>
      </c>
      <c r="F4" s="15">
        <f>F2+F1</f>
        <v>41.069218826293948</v>
      </c>
    </row>
    <row r="5" spans="1:6" x14ac:dyDescent="0.35">
      <c r="A5" t="s">
        <v>42</v>
      </c>
      <c r="B5" s="16">
        <v>45433</v>
      </c>
    </row>
    <row r="7" spans="1:6" x14ac:dyDescent="0.35">
      <c r="A7" t="s">
        <v>44</v>
      </c>
      <c r="B7">
        <v>23.966999053955078</v>
      </c>
    </row>
    <row r="8" spans="1:6" x14ac:dyDescent="0.35">
      <c r="A8" t="s">
        <v>45</v>
      </c>
      <c r="B8">
        <v>36.236000061035156</v>
      </c>
    </row>
  </sheetData>
  <sheetProtection selectLockedCells="1" selectUnlockedCells="1"/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B4FC-8647-40FE-AA84-063BF72B3ECB}">
  <sheetPr codeName="Sheet5"/>
  <dimension ref="A1:G2"/>
  <sheetViews>
    <sheetView workbookViewId="0">
      <selection activeCell="D2" sqref="D2"/>
    </sheetView>
  </sheetViews>
  <sheetFormatPr defaultRowHeight="14.5" x14ac:dyDescent="0.35"/>
  <cols>
    <col min="1" max="1" width="11.1796875" bestFit="1" customWidth="1"/>
    <col min="2" max="2" width="10.453125" bestFit="1" customWidth="1"/>
    <col min="3" max="3" width="9.6328125" bestFit="1" customWidth="1"/>
    <col min="4" max="4" width="11.1796875" bestFit="1" customWidth="1"/>
  </cols>
  <sheetData>
    <row r="1" spans="1:7" ht="15" thickBot="1" x14ac:dyDescent="0.4">
      <c r="A1" t="s">
        <v>30</v>
      </c>
      <c r="B1" s="8">
        <v>45433</v>
      </c>
      <c r="C1" s="2" t="s">
        <v>31</v>
      </c>
      <c r="D1" s="2">
        <v>45461</v>
      </c>
      <c r="F1" t="s">
        <v>32</v>
      </c>
      <c r="G1">
        <f>D1-B1</f>
        <v>28</v>
      </c>
    </row>
    <row r="2" spans="1:7" ht="16" thickBot="1" x14ac:dyDescent="0.4">
      <c r="A2" s="17"/>
      <c r="B2" s="18"/>
      <c r="C2" s="9" t="s">
        <v>33</v>
      </c>
      <c r="D2" s="10">
        <f ca="1">TODAY()</f>
        <v>45557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64FB-8A23-4BE0-A773-B213BB95A3CF}">
  <sheetPr codeName="Sheet6"/>
  <dimension ref="A1:O171"/>
  <sheetViews>
    <sheetView workbookViewId="0">
      <pane ySplit="1" topLeftCell="A2" activePane="bottomLeft" state="frozen"/>
      <selection pane="bottomLeft"/>
    </sheetView>
  </sheetViews>
  <sheetFormatPr defaultRowHeight="13" x14ac:dyDescent="0.35"/>
  <cols>
    <col min="1" max="1" width="12.7265625" style="26" bestFit="1" customWidth="1"/>
    <col min="2" max="2" width="11.54296875" style="32" bestFit="1" customWidth="1"/>
    <col min="3" max="3" width="10.90625" style="32" bestFit="1" customWidth="1"/>
    <col min="4" max="4" width="11.6328125" style="28" customWidth="1"/>
    <col min="5" max="5" width="72.54296875" style="28" bestFit="1" customWidth="1"/>
    <col min="6" max="6" width="23" style="28" bestFit="1" customWidth="1"/>
    <col min="7" max="7" width="12.7265625" style="29" bestFit="1" customWidth="1"/>
    <col min="8" max="8" width="20.36328125" style="24" bestFit="1" customWidth="1"/>
    <col min="9" max="9" width="7.81640625" style="24" bestFit="1" customWidth="1"/>
    <col min="10" max="10" width="9.1796875" style="24" bestFit="1" customWidth="1"/>
    <col min="11" max="11" width="31" style="24" customWidth="1"/>
    <col min="12" max="12" width="8.7265625" style="24"/>
    <col min="13" max="13" width="37.36328125" style="24" customWidth="1"/>
    <col min="14" max="14" width="33.453125" style="24" customWidth="1"/>
    <col min="15" max="15" width="27.7265625" style="24" customWidth="1"/>
    <col min="16" max="16384" width="8.7265625" style="24"/>
  </cols>
  <sheetData>
    <row r="1" spans="1:15" ht="66.5" customHeight="1" x14ac:dyDescent="0.35">
      <c r="A1" s="23" t="s">
        <v>53</v>
      </c>
      <c r="B1" s="24" t="s">
        <v>65</v>
      </c>
      <c r="C1" s="24" t="s">
        <v>64</v>
      </c>
      <c r="D1" s="25" t="s">
        <v>54</v>
      </c>
      <c r="E1" s="25" t="s">
        <v>57</v>
      </c>
      <c r="F1" s="25" t="s">
        <v>55</v>
      </c>
      <c r="G1" s="25" t="s">
        <v>56</v>
      </c>
      <c r="H1" s="24" t="s">
        <v>66</v>
      </c>
      <c r="I1" s="25" t="s">
        <v>62</v>
      </c>
      <c r="J1" s="25" t="s">
        <v>63</v>
      </c>
      <c r="K1" s="25" t="s">
        <v>87</v>
      </c>
      <c r="L1" s="24" t="s">
        <v>83</v>
      </c>
      <c r="M1" s="25" t="s">
        <v>84</v>
      </c>
      <c r="N1" s="24" t="s">
        <v>85</v>
      </c>
      <c r="O1" s="25" t="s">
        <v>86</v>
      </c>
    </row>
    <row r="2" spans="1:15" x14ac:dyDescent="0.35">
      <c r="B2" s="27"/>
      <c r="C2" s="27"/>
    </row>
    <row r="3" spans="1:15" x14ac:dyDescent="0.35">
      <c r="B3" s="27"/>
      <c r="C3" s="27"/>
    </row>
    <row r="4" spans="1:15" x14ac:dyDescent="0.35">
      <c r="B4" s="27"/>
      <c r="C4" s="27"/>
    </row>
    <row r="5" spans="1:15" x14ac:dyDescent="0.35">
      <c r="B5" s="27"/>
      <c r="C5" s="27"/>
    </row>
    <row r="6" spans="1:15" x14ac:dyDescent="0.35">
      <c r="B6" s="27"/>
      <c r="C6" s="27"/>
    </row>
    <row r="7" spans="1:15" x14ac:dyDescent="0.35">
      <c r="B7" s="27"/>
      <c r="C7" s="27"/>
    </row>
    <row r="8" spans="1:15" x14ac:dyDescent="0.35">
      <c r="B8" s="27"/>
      <c r="C8" s="27"/>
    </row>
    <row r="9" spans="1:15" x14ac:dyDescent="0.35">
      <c r="B9" s="27"/>
      <c r="C9" s="27"/>
    </row>
    <row r="10" spans="1:15" x14ac:dyDescent="0.35">
      <c r="B10" s="27"/>
      <c r="C10" s="27"/>
    </row>
    <row r="11" spans="1:15" x14ac:dyDescent="0.35">
      <c r="B11" s="27"/>
      <c r="C11" s="27"/>
    </row>
    <row r="12" spans="1:15" x14ac:dyDescent="0.35">
      <c r="B12" s="27"/>
      <c r="C12" s="27"/>
    </row>
    <row r="13" spans="1:15" x14ac:dyDescent="0.35">
      <c r="B13" s="27"/>
      <c r="C13" s="27"/>
    </row>
    <row r="14" spans="1:15" x14ac:dyDescent="0.35">
      <c r="B14" s="27"/>
      <c r="C14" s="27"/>
    </row>
    <row r="15" spans="1:15" x14ac:dyDescent="0.35">
      <c r="B15" s="27"/>
      <c r="C15" s="27"/>
    </row>
    <row r="16" spans="1:15" x14ac:dyDescent="0.35">
      <c r="B16" s="27"/>
      <c r="C16" s="27"/>
    </row>
    <row r="17" spans="2:3" x14ac:dyDescent="0.35">
      <c r="B17" s="27"/>
      <c r="C17" s="27"/>
    </row>
    <row r="18" spans="2:3" x14ac:dyDescent="0.35">
      <c r="B18" s="27"/>
      <c r="C18" s="27"/>
    </row>
    <row r="19" spans="2:3" x14ac:dyDescent="0.35">
      <c r="B19" s="27"/>
      <c r="C19" s="27"/>
    </row>
    <row r="20" spans="2:3" x14ac:dyDescent="0.35">
      <c r="B20" s="27"/>
      <c r="C20" s="27"/>
    </row>
    <row r="21" spans="2:3" x14ac:dyDescent="0.35">
      <c r="B21" s="27"/>
      <c r="C21" s="27"/>
    </row>
    <row r="22" spans="2:3" x14ac:dyDescent="0.35">
      <c r="B22" s="27"/>
      <c r="C22" s="27"/>
    </row>
    <row r="23" spans="2:3" x14ac:dyDescent="0.35">
      <c r="B23" s="27"/>
      <c r="C23" s="27"/>
    </row>
    <row r="24" spans="2:3" x14ac:dyDescent="0.35">
      <c r="B24" s="27"/>
      <c r="C24" s="27"/>
    </row>
    <row r="25" spans="2:3" x14ac:dyDescent="0.35">
      <c r="B25" s="27"/>
      <c r="C25" s="27"/>
    </row>
    <row r="26" spans="2:3" x14ac:dyDescent="0.35">
      <c r="B26" s="27"/>
      <c r="C26" s="27"/>
    </row>
    <row r="27" spans="2:3" x14ac:dyDescent="0.35">
      <c r="B27" s="27"/>
      <c r="C27" s="27"/>
    </row>
    <row r="28" spans="2:3" x14ac:dyDescent="0.35">
      <c r="B28" s="27"/>
      <c r="C28" s="27"/>
    </row>
    <row r="29" spans="2:3" x14ac:dyDescent="0.35">
      <c r="B29" s="27"/>
      <c r="C29" s="27"/>
    </row>
    <row r="30" spans="2:3" x14ac:dyDescent="0.35">
      <c r="B30" s="27"/>
      <c r="C30" s="30"/>
    </row>
    <row r="31" spans="2:3" x14ac:dyDescent="0.35">
      <c r="B31" s="27"/>
      <c r="C31" s="30"/>
    </row>
    <row r="32" spans="2:3" x14ac:dyDescent="0.35">
      <c r="B32" s="27"/>
      <c r="C32" s="30"/>
    </row>
    <row r="33" spans="2:3" x14ac:dyDescent="0.35">
      <c r="B33" s="27"/>
      <c r="C33" s="30"/>
    </row>
    <row r="34" spans="2:3" x14ac:dyDescent="0.35">
      <c r="B34" s="27"/>
      <c r="C34" s="30"/>
    </row>
    <row r="35" spans="2:3" x14ac:dyDescent="0.35">
      <c r="B35" s="27"/>
      <c r="C35" s="30"/>
    </row>
    <row r="36" spans="2:3" x14ac:dyDescent="0.35">
      <c r="B36" s="27"/>
      <c r="C36" s="30"/>
    </row>
    <row r="37" spans="2:3" x14ac:dyDescent="0.35">
      <c r="B37" s="30"/>
      <c r="C37" s="30"/>
    </row>
    <row r="38" spans="2:3" x14ac:dyDescent="0.35">
      <c r="B38" s="30"/>
      <c r="C38" s="30"/>
    </row>
    <row r="39" spans="2:3" x14ac:dyDescent="0.35">
      <c r="B39" s="30"/>
      <c r="C39" s="30"/>
    </row>
    <row r="40" spans="2:3" x14ac:dyDescent="0.35">
      <c r="B40" s="30"/>
      <c r="C40" s="30"/>
    </row>
    <row r="41" spans="2:3" x14ac:dyDescent="0.35">
      <c r="B41" s="30"/>
      <c r="C41" s="30"/>
    </row>
    <row r="42" spans="2:3" x14ac:dyDescent="0.35">
      <c r="B42" s="30"/>
      <c r="C42" s="30"/>
    </row>
    <row r="43" spans="2:3" x14ac:dyDescent="0.35">
      <c r="B43" s="30"/>
      <c r="C43" s="30"/>
    </row>
    <row r="44" spans="2:3" x14ac:dyDescent="0.35">
      <c r="B44" s="30"/>
      <c r="C44" s="30"/>
    </row>
    <row r="45" spans="2:3" x14ac:dyDescent="0.35">
      <c r="B45" s="30"/>
      <c r="C45" s="30"/>
    </row>
    <row r="46" spans="2:3" x14ac:dyDescent="0.35">
      <c r="B46" s="30"/>
      <c r="C46" s="30"/>
    </row>
    <row r="47" spans="2:3" x14ac:dyDescent="0.35">
      <c r="B47" s="30"/>
      <c r="C47" s="30"/>
    </row>
    <row r="48" spans="2:3" x14ac:dyDescent="0.35">
      <c r="B48" s="30"/>
      <c r="C48" s="30"/>
    </row>
    <row r="49" spans="1:3" x14ac:dyDescent="0.35">
      <c r="B49" s="30"/>
      <c r="C49" s="30"/>
    </row>
    <row r="50" spans="1:3" x14ac:dyDescent="0.35">
      <c r="B50" s="30"/>
      <c r="C50" s="30"/>
    </row>
    <row r="51" spans="1:3" x14ac:dyDescent="0.35">
      <c r="B51" s="30"/>
      <c r="C51" s="30"/>
    </row>
    <row r="52" spans="1:3" x14ac:dyDescent="0.35">
      <c r="B52" s="30"/>
      <c r="C52" s="30"/>
    </row>
    <row r="53" spans="1:3" x14ac:dyDescent="0.35">
      <c r="B53" s="30"/>
      <c r="C53" s="30"/>
    </row>
    <row r="54" spans="1:3" x14ac:dyDescent="0.35">
      <c r="B54" s="30"/>
      <c r="C54" s="30"/>
    </row>
    <row r="55" spans="1:3" x14ac:dyDescent="0.35">
      <c r="B55" s="30"/>
      <c r="C55" s="30"/>
    </row>
    <row r="56" spans="1:3" x14ac:dyDescent="0.35">
      <c r="B56" s="30"/>
      <c r="C56" s="30"/>
    </row>
    <row r="57" spans="1:3" x14ac:dyDescent="0.35">
      <c r="A57" s="27"/>
      <c r="B57" s="30"/>
      <c r="C57" s="30"/>
    </row>
    <row r="58" spans="1:3" x14ac:dyDescent="0.35">
      <c r="A58" s="27"/>
      <c r="B58" s="30"/>
      <c r="C58" s="30"/>
    </row>
    <row r="59" spans="1:3" x14ac:dyDescent="0.35">
      <c r="A59" s="27"/>
      <c r="B59" s="30"/>
      <c r="C59" s="30"/>
    </row>
    <row r="60" spans="1:3" x14ac:dyDescent="0.35">
      <c r="A60" s="27"/>
      <c r="B60" s="30"/>
      <c r="C60" s="30"/>
    </row>
    <row r="61" spans="1:3" x14ac:dyDescent="0.35">
      <c r="A61" s="27"/>
      <c r="B61" s="30"/>
      <c r="C61" s="30"/>
    </row>
    <row r="62" spans="1:3" x14ac:dyDescent="0.35">
      <c r="A62" s="27"/>
      <c r="B62" s="30"/>
      <c r="C62" s="30"/>
    </row>
    <row r="63" spans="1:3" x14ac:dyDescent="0.35">
      <c r="A63" s="27"/>
      <c r="B63" s="30"/>
      <c r="C63" s="30"/>
    </row>
    <row r="64" spans="1:3" x14ac:dyDescent="0.35">
      <c r="A64" s="27"/>
      <c r="B64" s="30"/>
      <c r="C64" s="30"/>
    </row>
    <row r="65" spans="1:3" x14ac:dyDescent="0.35">
      <c r="A65" s="27"/>
      <c r="B65" s="30"/>
      <c r="C65" s="30"/>
    </row>
    <row r="66" spans="1:3" x14ac:dyDescent="0.35">
      <c r="A66" s="27"/>
      <c r="B66" s="30"/>
      <c r="C66" s="30"/>
    </row>
    <row r="67" spans="1:3" x14ac:dyDescent="0.35">
      <c r="A67" s="27"/>
      <c r="B67" s="30"/>
      <c r="C67" s="30"/>
    </row>
    <row r="68" spans="1:3" x14ac:dyDescent="0.35">
      <c r="A68" s="27"/>
      <c r="B68" s="30"/>
      <c r="C68" s="30"/>
    </row>
    <row r="69" spans="1:3" x14ac:dyDescent="0.35">
      <c r="A69" s="27"/>
      <c r="B69" s="30"/>
      <c r="C69" s="30"/>
    </row>
    <row r="70" spans="1:3" x14ac:dyDescent="0.35">
      <c r="A70" s="27"/>
      <c r="B70" s="30"/>
      <c r="C70" s="30"/>
    </row>
    <row r="71" spans="1:3" x14ac:dyDescent="0.35">
      <c r="A71" s="27"/>
      <c r="B71" s="30"/>
      <c r="C71" s="30"/>
    </row>
    <row r="72" spans="1:3" x14ac:dyDescent="0.35">
      <c r="A72" s="27"/>
      <c r="B72" s="30"/>
      <c r="C72" s="30"/>
    </row>
    <row r="73" spans="1:3" x14ac:dyDescent="0.35">
      <c r="A73" s="27"/>
      <c r="B73" s="30"/>
      <c r="C73" s="30"/>
    </row>
    <row r="74" spans="1:3" x14ac:dyDescent="0.35">
      <c r="A74" s="27"/>
      <c r="B74" s="30"/>
      <c r="C74" s="30"/>
    </row>
    <row r="75" spans="1:3" x14ac:dyDescent="0.35">
      <c r="A75" s="27"/>
      <c r="B75" s="30"/>
      <c r="C75" s="30"/>
    </row>
    <row r="76" spans="1:3" x14ac:dyDescent="0.35">
      <c r="A76" s="27"/>
      <c r="B76" s="30"/>
      <c r="C76" s="30"/>
    </row>
    <row r="77" spans="1:3" x14ac:dyDescent="0.35">
      <c r="A77" s="27"/>
      <c r="B77" s="30"/>
      <c r="C77" s="30"/>
    </row>
    <row r="78" spans="1:3" x14ac:dyDescent="0.35">
      <c r="A78" s="27"/>
      <c r="B78" s="30"/>
      <c r="C78" s="30"/>
    </row>
    <row r="79" spans="1:3" x14ac:dyDescent="0.35">
      <c r="A79" s="27"/>
      <c r="B79" s="30"/>
      <c r="C79" s="30"/>
    </row>
    <row r="80" spans="1:3" x14ac:dyDescent="0.35">
      <c r="A80" s="27"/>
      <c r="B80" s="30"/>
      <c r="C80" s="30"/>
    </row>
    <row r="81" spans="1:3" x14ac:dyDescent="0.35">
      <c r="A81" s="27"/>
      <c r="B81" s="30"/>
      <c r="C81" s="30"/>
    </row>
    <row r="82" spans="1:3" x14ac:dyDescent="0.35">
      <c r="A82" s="27"/>
      <c r="B82" s="30"/>
      <c r="C82" s="30"/>
    </row>
    <row r="83" spans="1:3" x14ac:dyDescent="0.35">
      <c r="A83" s="27"/>
      <c r="B83" s="30"/>
      <c r="C83" s="30"/>
    </row>
    <row r="84" spans="1:3" x14ac:dyDescent="0.35">
      <c r="A84" s="27"/>
      <c r="B84" s="30"/>
      <c r="C84" s="30"/>
    </row>
    <row r="85" spans="1:3" x14ac:dyDescent="0.35">
      <c r="A85" s="27"/>
      <c r="B85" s="30"/>
      <c r="C85" s="30"/>
    </row>
    <row r="86" spans="1:3" x14ac:dyDescent="0.35">
      <c r="A86" s="27"/>
      <c r="B86" s="30"/>
      <c r="C86" s="30"/>
    </row>
    <row r="87" spans="1:3" x14ac:dyDescent="0.35">
      <c r="A87" s="27"/>
      <c r="B87" s="30"/>
      <c r="C87" s="30"/>
    </row>
    <row r="88" spans="1:3" x14ac:dyDescent="0.35">
      <c r="A88" s="27"/>
      <c r="B88" s="30"/>
      <c r="C88" s="30"/>
    </row>
    <row r="89" spans="1:3" x14ac:dyDescent="0.35">
      <c r="A89" s="27"/>
      <c r="B89" s="30"/>
      <c r="C89" s="30"/>
    </row>
    <row r="90" spans="1:3" x14ac:dyDescent="0.35">
      <c r="A90" s="27"/>
      <c r="B90" s="30"/>
      <c r="C90" s="30"/>
    </row>
    <row r="91" spans="1:3" x14ac:dyDescent="0.35">
      <c r="A91" s="27"/>
      <c r="B91" s="30"/>
      <c r="C91" s="30"/>
    </row>
    <row r="92" spans="1:3" x14ac:dyDescent="0.35">
      <c r="A92" s="27"/>
      <c r="B92" s="30"/>
      <c r="C92" s="30"/>
    </row>
    <row r="93" spans="1:3" x14ac:dyDescent="0.35">
      <c r="A93" s="27"/>
      <c r="B93" s="30"/>
      <c r="C93" s="30"/>
    </row>
    <row r="94" spans="1:3" x14ac:dyDescent="0.35">
      <c r="A94" s="27"/>
      <c r="B94" s="30"/>
      <c r="C94" s="30"/>
    </row>
    <row r="95" spans="1:3" x14ac:dyDescent="0.35">
      <c r="A95" s="27"/>
      <c r="B95" s="30"/>
      <c r="C95" s="30"/>
    </row>
    <row r="96" spans="1:3" x14ac:dyDescent="0.35">
      <c r="A96" s="27"/>
      <c r="B96" s="30"/>
      <c r="C96" s="30"/>
    </row>
    <row r="97" spans="1:3" x14ac:dyDescent="0.35">
      <c r="A97" s="27"/>
      <c r="B97" s="30"/>
      <c r="C97" s="30"/>
    </row>
    <row r="98" spans="1:3" x14ac:dyDescent="0.35">
      <c r="A98" s="27"/>
      <c r="B98" s="30"/>
      <c r="C98" s="30"/>
    </row>
    <row r="99" spans="1:3" x14ac:dyDescent="0.35">
      <c r="A99" s="27"/>
      <c r="B99" s="30"/>
      <c r="C99" s="30"/>
    </row>
    <row r="100" spans="1:3" x14ac:dyDescent="0.35">
      <c r="A100" s="27"/>
      <c r="B100" s="30"/>
      <c r="C100" s="30"/>
    </row>
    <row r="101" spans="1:3" x14ac:dyDescent="0.35">
      <c r="A101" s="27"/>
      <c r="B101" s="30"/>
      <c r="C101" s="30"/>
    </row>
    <row r="102" spans="1:3" x14ac:dyDescent="0.35">
      <c r="A102" s="27"/>
      <c r="B102" s="30"/>
      <c r="C102" s="30"/>
    </row>
    <row r="103" spans="1:3" x14ac:dyDescent="0.35">
      <c r="A103" s="27"/>
      <c r="B103" s="30"/>
      <c r="C103" s="30"/>
    </row>
    <row r="104" spans="1:3" x14ac:dyDescent="0.35">
      <c r="A104" s="27"/>
      <c r="B104" s="30"/>
      <c r="C104" s="30"/>
    </row>
    <row r="105" spans="1:3" x14ac:dyDescent="0.35">
      <c r="A105" s="27"/>
      <c r="B105" s="30"/>
      <c r="C105" s="30"/>
    </row>
    <row r="106" spans="1:3" x14ac:dyDescent="0.35">
      <c r="A106" s="27"/>
      <c r="B106" s="30"/>
      <c r="C106" s="30"/>
    </row>
    <row r="107" spans="1:3" x14ac:dyDescent="0.35">
      <c r="A107" s="27"/>
      <c r="B107" s="30"/>
      <c r="C107" s="30"/>
    </row>
    <row r="108" spans="1:3" x14ac:dyDescent="0.35">
      <c r="A108" s="27"/>
      <c r="B108" s="30"/>
      <c r="C108" s="30"/>
    </row>
    <row r="109" spans="1:3" x14ac:dyDescent="0.35">
      <c r="A109" s="27"/>
      <c r="B109" s="30"/>
      <c r="C109" s="30"/>
    </row>
    <row r="110" spans="1:3" x14ac:dyDescent="0.35">
      <c r="A110" s="27"/>
      <c r="B110" s="30"/>
      <c r="C110" s="30"/>
    </row>
    <row r="111" spans="1:3" x14ac:dyDescent="0.35">
      <c r="A111" s="27"/>
      <c r="B111" s="30"/>
      <c r="C111" s="30"/>
    </row>
    <row r="112" spans="1:3" x14ac:dyDescent="0.35">
      <c r="A112" s="27"/>
      <c r="B112" s="30"/>
      <c r="C112" s="30"/>
    </row>
    <row r="113" spans="1:3" x14ac:dyDescent="0.35">
      <c r="A113" s="27"/>
      <c r="B113" s="30"/>
      <c r="C113" s="30"/>
    </row>
    <row r="114" spans="1:3" x14ac:dyDescent="0.35">
      <c r="A114" s="27"/>
      <c r="B114" s="30"/>
      <c r="C114" s="30"/>
    </row>
    <row r="115" spans="1:3" x14ac:dyDescent="0.35">
      <c r="A115" s="27"/>
      <c r="B115" s="30"/>
      <c r="C115" s="30"/>
    </row>
    <row r="116" spans="1:3" x14ac:dyDescent="0.35">
      <c r="A116" s="27"/>
      <c r="B116" s="30"/>
      <c r="C116" s="30"/>
    </row>
    <row r="117" spans="1:3" x14ac:dyDescent="0.35">
      <c r="A117" s="27"/>
      <c r="B117" s="30"/>
      <c r="C117" s="30"/>
    </row>
    <row r="118" spans="1:3" x14ac:dyDescent="0.35">
      <c r="A118" s="27"/>
      <c r="B118" s="30"/>
      <c r="C118" s="30"/>
    </row>
    <row r="119" spans="1:3" x14ac:dyDescent="0.35">
      <c r="A119" s="27"/>
      <c r="B119" s="30"/>
      <c r="C119" s="30"/>
    </row>
    <row r="120" spans="1:3" x14ac:dyDescent="0.35">
      <c r="A120" s="27"/>
      <c r="B120" s="30"/>
      <c r="C120" s="30"/>
    </row>
    <row r="121" spans="1:3" x14ac:dyDescent="0.35">
      <c r="A121" s="27"/>
      <c r="B121" s="30"/>
      <c r="C121" s="30"/>
    </row>
    <row r="122" spans="1:3" x14ac:dyDescent="0.35">
      <c r="A122" s="27"/>
      <c r="B122" s="30"/>
      <c r="C122" s="30"/>
    </row>
    <row r="123" spans="1:3" x14ac:dyDescent="0.35">
      <c r="A123" s="27"/>
      <c r="B123" s="30"/>
      <c r="C123" s="30"/>
    </row>
    <row r="124" spans="1:3" x14ac:dyDescent="0.35">
      <c r="A124" s="27"/>
      <c r="B124" s="30"/>
      <c r="C124" s="30"/>
    </row>
    <row r="125" spans="1:3" x14ac:dyDescent="0.35">
      <c r="A125" s="27"/>
      <c r="B125" s="30"/>
      <c r="C125" s="30"/>
    </row>
    <row r="126" spans="1:3" x14ac:dyDescent="0.35">
      <c r="A126" s="27"/>
      <c r="B126" s="30"/>
      <c r="C126" s="30"/>
    </row>
    <row r="127" spans="1:3" x14ac:dyDescent="0.35">
      <c r="A127" s="27"/>
      <c r="B127" s="30"/>
      <c r="C127" s="30"/>
    </row>
    <row r="128" spans="1:3" x14ac:dyDescent="0.35">
      <c r="A128" s="27"/>
      <c r="B128" s="30"/>
      <c r="C128" s="30"/>
    </row>
    <row r="129" spans="1:3" x14ac:dyDescent="0.35">
      <c r="A129" s="27"/>
      <c r="B129" s="30"/>
      <c r="C129" s="30"/>
    </row>
    <row r="130" spans="1:3" x14ac:dyDescent="0.35">
      <c r="A130" s="27"/>
      <c r="B130" s="30"/>
      <c r="C130" s="30"/>
    </row>
    <row r="131" spans="1:3" x14ac:dyDescent="0.35">
      <c r="A131" s="27"/>
      <c r="B131" s="30"/>
      <c r="C131" s="30"/>
    </row>
    <row r="132" spans="1:3" x14ac:dyDescent="0.35">
      <c r="A132" s="27"/>
      <c r="B132" s="30"/>
      <c r="C132" s="30"/>
    </row>
    <row r="133" spans="1:3" x14ac:dyDescent="0.35">
      <c r="A133" s="27"/>
      <c r="B133" s="30"/>
      <c r="C133" s="30"/>
    </row>
    <row r="134" spans="1:3" x14ac:dyDescent="0.35">
      <c r="A134" s="27"/>
      <c r="B134" s="30"/>
      <c r="C134" s="30"/>
    </row>
    <row r="135" spans="1:3" x14ac:dyDescent="0.35">
      <c r="A135" s="27"/>
      <c r="B135" s="30"/>
      <c r="C135" s="30"/>
    </row>
    <row r="136" spans="1:3" x14ac:dyDescent="0.35">
      <c r="A136" s="27"/>
      <c r="B136" s="30"/>
      <c r="C136" s="30"/>
    </row>
    <row r="137" spans="1:3" x14ac:dyDescent="0.35">
      <c r="A137" s="27"/>
      <c r="B137" s="30"/>
      <c r="C137" s="30"/>
    </row>
    <row r="138" spans="1:3" x14ac:dyDescent="0.35">
      <c r="A138" s="27"/>
      <c r="B138" s="30"/>
      <c r="C138" s="30"/>
    </row>
    <row r="139" spans="1:3" x14ac:dyDescent="0.35">
      <c r="A139" s="27"/>
      <c r="B139" s="30"/>
      <c r="C139" s="30"/>
    </row>
    <row r="140" spans="1:3" x14ac:dyDescent="0.35">
      <c r="A140" s="27"/>
      <c r="B140" s="30"/>
      <c r="C140" s="30"/>
    </row>
    <row r="141" spans="1:3" x14ac:dyDescent="0.35">
      <c r="A141" s="27"/>
      <c r="B141" s="30"/>
      <c r="C141" s="30"/>
    </row>
    <row r="142" spans="1:3" x14ac:dyDescent="0.35">
      <c r="A142" s="27"/>
      <c r="B142" s="30"/>
      <c r="C142" s="30"/>
    </row>
    <row r="143" spans="1:3" x14ac:dyDescent="0.35">
      <c r="A143" s="27"/>
      <c r="B143" s="30"/>
      <c r="C143" s="30"/>
    </row>
    <row r="144" spans="1:3" x14ac:dyDescent="0.35">
      <c r="A144" s="27"/>
      <c r="B144" s="30"/>
      <c r="C144" s="30"/>
    </row>
    <row r="145" spans="1:14" x14ac:dyDescent="0.35">
      <c r="A145" s="27"/>
      <c r="B145" s="30"/>
      <c r="C145" s="30"/>
    </row>
    <row r="146" spans="1:14" x14ac:dyDescent="0.35">
      <c r="A146" s="27"/>
      <c r="B146" s="30"/>
      <c r="C146" s="30"/>
    </row>
    <row r="147" spans="1:14" x14ac:dyDescent="0.35">
      <c r="A147" s="27"/>
      <c r="B147" s="30"/>
      <c r="C147" s="30"/>
    </row>
    <row r="148" spans="1:14" x14ac:dyDescent="0.35">
      <c r="A148" s="27"/>
      <c r="B148" s="30"/>
      <c r="C148" s="30"/>
    </row>
    <row r="149" spans="1:14" x14ac:dyDescent="0.35">
      <c r="A149" s="27"/>
      <c r="B149" s="30"/>
      <c r="C149" s="30"/>
    </row>
    <row r="150" spans="1:14" x14ac:dyDescent="0.35">
      <c r="A150" s="27"/>
      <c r="B150" s="30"/>
      <c r="C150" s="30"/>
    </row>
    <row r="151" spans="1:14" x14ac:dyDescent="0.35">
      <c r="A151" s="27"/>
      <c r="B151" s="30"/>
      <c r="C151" s="30"/>
    </row>
    <row r="152" spans="1:14" x14ac:dyDescent="0.35">
      <c r="A152" s="27"/>
      <c r="B152" s="30"/>
      <c r="C152" s="30"/>
    </row>
    <row r="153" spans="1:14" x14ac:dyDescent="0.35">
      <c r="A153" s="27"/>
      <c r="B153" s="30"/>
      <c r="C153" s="30"/>
    </row>
    <row r="154" spans="1:14" x14ac:dyDescent="0.35">
      <c r="A154" s="27"/>
      <c r="B154" s="30"/>
      <c r="C154" s="30"/>
    </row>
    <row r="155" spans="1:14" x14ac:dyDescent="0.35">
      <c r="A155" s="27"/>
      <c r="B155" s="30"/>
      <c r="C155" s="30"/>
    </row>
    <row r="156" spans="1:14" x14ac:dyDescent="0.35">
      <c r="A156" s="27"/>
      <c r="B156" s="30"/>
      <c r="C156" s="30"/>
      <c r="N156" s="31"/>
    </row>
    <row r="157" spans="1:14" x14ac:dyDescent="0.35">
      <c r="A157" s="27"/>
      <c r="B157" s="30"/>
      <c r="C157" s="30"/>
    </row>
    <row r="158" spans="1:14" x14ac:dyDescent="0.35">
      <c r="A158" s="27"/>
      <c r="B158" s="30"/>
      <c r="C158" s="30"/>
    </row>
    <row r="159" spans="1:14" x14ac:dyDescent="0.35">
      <c r="A159" s="27"/>
      <c r="B159" s="30"/>
      <c r="C159" s="30"/>
    </row>
    <row r="160" spans="1:14" x14ac:dyDescent="0.35">
      <c r="A160" s="27"/>
      <c r="B160" s="30"/>
      <c r="C160" s="30"/>
    </row>
    <row r="161" spans="1:3" x14ac:dyDescent="0.35">
      <c r="A161" s="27"/>
      <c r="B161" s="30"/>
      <c r="C161" s="30"/>
    </row>
    <row r="162" spans="1:3" x14ac:dyDescent="0.35">
      <c r="A162" s="27"/>
      <c r="B162" s="30"/>
      <c r="C162" s="30"/>
    </row>
    <row r="163" spans="1:3" x14ac:dyDescent="0.35">
      <c r="A163" s="27"/>
      <c r="B163" s="30"/>
      <c r="C163" s="30"/>
    </row>
    <row r="164" spans="1:3" x14ac:dyDescent="0.35">
      <c r="A164" s="27"/>
      <c r="B164" s="30"/>
      <c r="C164" s="30"/>
    </row>
    <row r="165" spans="1:3" x14ac:dyDescent="0.35">
      <c r="A165" s="27"/>
      <c r="B165" s="30"/>
      <c r="C165" s="30"/>
    </row>
    <row r="166" spans="1:3" x14ac:dyDescent="0.35">
      <c r="A166" s="27"/>
      <c r="B166" s="30"/>
      <c r="C166" s="30"/>
    </row>
    <row r="167" spans="1:3" x14ac:dyDescent="0.35">
      <c r="A167" s="27"/>
      <c r="B167" s="30"/>
      <c r="C167" s="30"/>
    </row>
    <row r="168" spans="1:3" x14ac:dyDescent="0.35">
      <c r="A168" s="27"/>
      <c r="B168" s="30"/>
      <c r="C168" s="30"/>
    </row>
    <row r="169" spans="1:3" x14ac:dyDescent="0.35">
      <c r="A169" s="27"/>
      <c r="B169" s="30"/>
      <c r="C169" s="30"/>
    </row>
    <row r="170" spans="1:3" x14ac:dyDescent="0.35">
      <c r="A170" s="27"/>
      <c r="B170" s="30"/>
      <c r="C170" s="30"/>
    </row>
    <row r="171" spans="1:3" x14ac:dyDescent="0.35">
      <c r="A171" s="27"/>
      <c r="B171" s="30"/>
      <c r="C171" s="30"/>
    </row>
  </sheetData>
  <autoFilter ref="A1:K117" xr:uid="{60E664FB-8A23-4BE0-A773-B213BB95A3CF}"/>
  <pageMargins left="0.7" right="0.7" top="0.75" bottom="0.75" header="0.3" footer="0.3"/>
  <pageSetup paperSize="0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554D5-18D9-4A69-928C-4BDF5CC4A462}">
  <sheetPr codeName="Sheet3"/>
  <dimension ref="A1:H3"/>
  <sheetViews>
    <sheetView workbookViewId="0">
      <selection activeCell="A2" sqref="A2"/>
    </sheetView>
  </sheetViews>
  <sheetFormatPr defaultRowHeight="14.5" x14ac:dyDescent="0.35"/>
  <cols>
    <col min="1" max="1" width="14.26953125" bestFit="1" customWidth="1"/>
    <col min="2" max="2" width="14.08984375" bestFit="1" customWidth="1"/>
    <col min="3" max="3" width="11.26953125" bestFit="1" customWidth="1"/>
    <col min="4" max="4" width="11.26953125" style="16" bestFit="1" customWidth="1"/>
    <col min="5" max="5" width="15.54296875" style="16" bestFit="1" customWidth="1"/>
    <col min="8" max="8" width="24.08984375" bestFit="1" customWidth="1"/>
    <col min="12" max="12" width="15.54296875" bestFit="1" customWidth="1"/>
    <col min="17" max="17" width="15.54296875" bestFit="1" customWidth="1"/>
    <col min="18" max="18" width="10.6328125" bestFit="1" customWidth="1"/>
    <col min="19" max="19" width="15.36328125" bestFit="1" customWidth="1"/>
  </cols>
  <sheetData>
    <row r="1" spans="1:8" ht="15" thickBot="1" x14ac:dyDescent="0.4">
      <c r="A1" t="s">
        <v>54</v>
      </c>
      <c r="B1" t="s">
        <v>58</v>
      </c>
      <c r="C1" t="s">
        <v>59</v>
      </c>
      <c r="D1" s="16" t="s">
        <v>60</v>
      </c>
      <c r="E1" s="16" t="s">
        <v>61</v>
      </c>
    </row>
    <row r="2" spans="1:8" ht="15" thickBot="1" x14ac:dyDescent="0.4">
      <c r="H2" s="19"/>
    </row>
    <row r="3" spans="1:8" x14ac:dyDescent="0.35">
      <c r="D3" s="33"/>
    </row>
  </sheetData>
  <pageMargins left="0.7" right="0.7" top="0.75" bottom="0.75" header="0.3" footer="0.3"/>
  <pageSetup paperSize="0" orientation="portrait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065f1a46-1149-4b07-97f4-ee5ba49b485b}" enabled="1" method="Standard" siteId="{a603898f-7de2-45ba-b67d-d35fb519b2cf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Start Here</vt:lpstr>
      <vt:lpstr>Memory</vt:lpstr>
      <vt:lpstr>Console</vt:lpstr>
      <vt:lpstr>UsefulNumbers</vt:lpstr>
      <vt:lpstr>GasCalculator</vt:lpstr>
      <vt:lpstr>ElectricityCalculator</vt:lpstr>
      <vt:lpstr>DateCalculator</vt:lpstr>
      <vt:lpstr>ActionNotes</vt:lpstr>
      <vt:lpstr>CHOEscalations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McClarence</dc:creator>
  <cp:lastModifiedBy>Dan McClarence</cp:lastModifiedBy>
  <dcterms:created xsi:type="dcterms:W3CDTF">2024-08-15T18:20:16Z</dcterms:created>
  <dcterms:modified xsi:type="dcterms:W3CDTF">2024-09-22T10:36:35Z</dcterms:modified>
</cp:coreProperties>
</file>